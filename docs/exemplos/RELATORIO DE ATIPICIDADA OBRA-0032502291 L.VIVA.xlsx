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5C8F607-43EB-4B62-94C8-C4B283D3C783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Planilha1" sheetId="1" r:id="rId1"/>
    <sheet name="Planilha2" sheetId="2" r:id="rId2"/>
  </sheets>
  <definedNames>
    <definedName name="_xlnm._FilterDatabase" localSheetId="0" hidden="1">Planilha1!$A$8:$C$12</definedName>
    <definedName name="_xlnm._FilterDatabase" localSheetId="1" hidden="1">Planilha2!$A$1:$A$11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11" i="1"/>
  <c r="C9" i="1"/>
</calcChain>
</file>

<file path=xl/sharedStrings.xml><?xml version="1.0" encoding="utf-8"?>
<sst xmlns="http://schemas.openxmlformats.org/spreadsheetml/2006/main" count="44" uniqueCount="39">
  <si>
    <t>DESCRIÇÃO DA ATIPICIDADE</t>
  </si>
  <si>
    <r>
      <rPr>
        <b/>
        <i/>
        <sz val="11"/>
        <color theme="1"/>
        <rFont val="Calibri"/>
        <family val="2"/>
      </rPr>
      <t>Por que a Obra é Atípica:</t>
    </r>
    <r>
      <rPr>
        <sz val="11"/>
        <color theme="1"/>
        <rFont val="Calibri"/>
        <family val="2"/>
      </rPr>
      <t xml:space="preserve"> </t>
    </r>
  </si>
  <si>
    <t>8. Obra com participação de linha viva</t>
  </si>
  <si>
    <t>Descrição Técnica da Execução da Obra:</t>
  </si>
  <si>
    <t>Valor - Realizado medição contratual no Siago</t>
  </si>
  <si>
    <t>Descrição</t>
  </si>
  <si>
    <t>Valor - Mão de Obra R$</t>
  </si>
  <si>
    <t>SEM  Atipicidade</t>
  </si>
  <si>
    <t>VALOR DA MEDIÇÃO SEM ATIPICIDADE</t>
  </si>
  <si>
    <t>COM  Atipicidade</t>
  </si>
  <si>
    <t>VALOR DA MEDIÇÃO COM ATIPICIDADE</t>
  </si>
  <si>
    <t>Atipicidade</t>
  </si>
  <si>
    <t>3. Obra em locais sem acesso que necessitam de transporte especial de equipamento (guindaste, trator, carroça) ou BANDOLAGEM</t>
  </si>
  <si>
    <t>4. Obra em ilhas, terrenos alagados, arenosos, montanhosos, rochosos ou aquosos, com CONCRETAGEM da base do poste ou CAVA ESPECIAL.</t>
  </si>
  <si>
    <t>10. Obra com atendimento alternativo de cargas (SE / Barramento móvel, estruturas temporárias/provisórias, gerador, Mega Jump)</t>
  </si>
  <si>
    <t>11. Obra de conversão de Rede convencional para REDE COMPACTA.</t>
  </si>
  <si>
    <t>13. Obra MISTA com RECONDUTORAMENTO PARCIAL de redes / linhas.</t>
  </si>
  <si>
    <t>17. Outros (EMENDAS DE CONDUTOR PARTIDO, ESPAÇADOR, e outras não previstas nos itens de 1 a 16).</t>
  </si>
  <si>
    <t>6. Obra de expansão e construção de rede e linhas de distribuição com abertura de faixa de passagem.</t>
  </si>
  <si>
    <t>9. Obra com utilização de linha viva somente na conexão.</t>
  </si>
  <si>
    <t>12. Obra exclusiva de recondutoramento de redes/linhas.</t>
  </si>
  <si>
    <t>Serviço:</t>
  </si>
  <si>
    <t>Coluna1</t>
  </si>
  <si>
    <t>Existem obras que precisam de um transporte especial como guindaste, trator ou até mesmo bandolagem (que significa deslocar postes e transformadores sem auxílio de guindauto), devido as características do terreno tornando-se necessário o transporte não usual dos equipamentos necessários para o atendimento.</t>
  </si>
  <si>
    <t>São consideradas atípicas devido a necessidade do recondutoramento parcial da rede existente da distribuidora, seja em redes de baixa/média tensão substituindo a rede de MT aérea de cabo CAA4 AWG, CAA2 AWG, e CA 4 AWG por rede compacta com condutores de alumínio protegidos ou cabos multiplex.</t>
  </si>
  <si>
    <t>A atipicidade ocorre pelo fato da substituição em campo de rede convencional de cabo CA4/CAA2 por cabo protegido de rede compacta em grandes proporções.</t>
  </si>
  <si>
    <t>Ocorre quando há substituição de estruturas de média tensão tipo T por estruturas compactas tipo CE, substituição da rede de MT aérea de cabo CAA4 AWG, CAA2 AWG, e CA 4 AWG por rede compacta com condutores de alumínio protegidos, instalação de chaves facas e fusíveis, instalação de espaçadores losangular nos vãos da rede compacta recém instalada.</t>
  </si>
  <si>
    <t>RELATÓRIO DE ATIPICIDADE</t>
  </si>
  <si>
    <t xml:space="preserve"> A região apresenta  terrenos rochosos, havendo a necessidade em algumas obras da equipe fazer uso de compressor para perfuração do solo, e posteriormente a concretagem do poste ou a utilização de manilha, visando manter as características construtivas da rede pelo máximo período de tempo.  </t>
  </si>
  <si>
    <t xml:space="preserve">Faz-se necessário em algumas obras, a supressão da vegetação com auxilio de ferramentas ou máquinas agrícolas.  </t>
  </si>
  <si>
    <t>São consideradas atípicas pelo fato de utilizarmos equipes de linha-viva em alguns casos visando a não interrupção do fornecimento de energia elétrica para não impactar no DEC e FEC da concessionária.</t>
  </si>
  <si>
    <t>São consideradas atípicas pelo fato de utilizarmos equipes de linha-viva apenas no poste da conexão, visando a não interrupção do fornecimento de energia elétrica para não impactar no DEC e FEC da concessionária.</t>
  </si>
  <si>
    <t>Utilizamos em alguns casos os referidos equipamentos visando a não interrupção do fornecimento de energia para grandes clientes.</t>
  </si>
  <si>
    <t>São necessárias a realização de emendas sejam nos cabos de média tensão ou baixa tensão, instalação de espaçadores lonsagulares na rede space, entre outros, visando não impactar nos indicadores de DEC e FEC.</t>
  </si>
  <si>
    <t>5. Obra com travessia de condutores sobre linhas energizadas.</t>
  </si>
  <si>
    <t>São consideradas atípicas pelo fato de utilizarmos equipes de linha-viva para realizar a travessia dos condutores da rede de distribuição em relação a rede de transmissão de energia.</t>
  </si>
  <si>
    <t xml:space="preserve">0. </t>
  </si>
  <si>
    <t>DATA: 30/10/2025</t>
  </si>
  <si>
    <t>OBRA: 0032502291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</si>
</sst>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833C0B"/>
      <name val="Calibri"/>
      <family val="2"/>
    </font>
    <font>
      <b/>
      <sz val="12"/>
      <color theme="0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44546A"/>
        <bgColor rgb="FF44546A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0" xfId="0" applyFont="1" applyFill="1" applyAlignment="1">
      <alignment vertical="center"/>
    </xf>
    <xf numFmtId="0" fontId="10" fillId="3" borderId="2" xfId="0" applyFont="1" applyFill="1" applyBorder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64" fontId="11" fillId="0" borderId="5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4" fillId="0" borderId="12" xfId="0" applyFont="1" applyBorder="1"/>
    <xf numFmtId="0" fontId="5" fillId="0" borderId="11" xfId="0" applyFont="1" applyBorder="1"/>
    <xf numFmtId="0" fontId="6" fillId="0" borderId="11" xfId="0" applyFont="1" applyBorder="1"/>
    <xf numFmtId="0" fontId="7" fillId="2" borderId="13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7" fillId="2" borderId="24" xfId="0" applyFont="1" applyFill="1" applyBorder="1" applyAlignment="1">
      <alignment vertical="center"/>
    </xf>
    <xf numFmtId="0" fontId="4" fillId="0" borderId="25" xfId="0" applyFont="1" applyBorder="1"/>
    <xf numFmtId="0" fontId="4" fillId="0" borderId="19" xfId="0" applyFont="1" applyBorder="1"/>
    <xf numFmtId="0" fontId="3" fillId="0" borderId="26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0" fontId="4" fillId="0" borderId="9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justify" vertical="top" wrapText="1"/>
    </xf>
    <xf numFmtId="0" fontId="13" fillId="4" borderId="33" xfId="0" applyFont="1" applyFill="1" applyBorder="1" applyAlignment="1">
      <alignment horizontal="left" vertical="center"/>
    </xf>
    <xf numFmtId="0" fontId="13" fillId="0" borderId="33" xfId="0" applyFont="1" applyBorder="1"/>
    <xf numFmtId="0" fontId="13" fillId="4" borderId="33" xfId="0" applyFont="1" applyFill="1" applyBorder="1"/>
    <xf numFmtId="0" fontId="13" fillId="4" borderId="28" xfId="0" applyFont="1" applyFill="1" applyBorder="1" applyAlignment="1">
      <alignment horizontal="left" vertical="distributed" wrapText="1"/>
    </xf>
    <xf numFmtId="0" fontId="13" fillId="0" borderId="28" xfId="0" applyFont="1" applyBorder="1" applyAlignment="1">
      <alignment horizontal="left" vertical="distributed" wrapText="1"/>
    </xf>
    <xf numFmtId="0" fontId="13" fillId="0" borderId="28" xfId="0" applyFont="1" applyBorder="1"/>
    <xf numFmtId="0" fontId="14" fillId="5" borderId="0" xfId="0" applyFont="1" applyFill="1"/>
    <xf numFmtId="0" fontId="14" fillId="5" borderId="32" xfId="0" applyFont="1" applyFill="1" applyBorder="1"/>
    <xf numFmtId="0" fontId="0" fillId="0" borderId="33" xfId="0" applyBorder="1"/>
    <xf numFmtId="0" fontId="1" fillId="0" borderId="1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11" fillId="0" borderId="18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distributed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16</xdr:row>
      <xdr:rowOff>38100</xdr:rowOff>
    </xdr:from>
    <xdr:ext cx="691964" cy="253253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7625" y="7456394"/>
          <a:ext cx="691964" cy="253253"/>
        </a:xfrm>
        <a:prstGeom prst="rect">
          <a:avLst/>
        </a:prstGeom>
        <a:solidFill>
          <a:schemeClr val="lt1"/>
        </a:solidFill>
        <a:ln w="9525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TIPO</a:t>
          </a:r>
          <a:r>
            <a:rPr lang="en-US" sz="12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08</a:t>
          </a:r>
          <a:endParaRPr sz="1200" b="1"/>
        </a:p>
      </xdr:txBody>
    </xdr:sp>
    <xdr:clientData fLocksWithSheet="0"/>
  </xdr:oneCellAnchor>
  <xdr:twoCellAnchor editAs="oneCell">
    <xdr:from>
      <xdr:col>1</xdr:col>
      <xdr:colOff>3024657</xdr:colOff>
      <xdr:row>16</xdr:row>
      <xdr:rowOff>986119</xdr:rowOff>
    </xdr:from>
    <xdr:to>
      <xdr:col>1</xdr:col>
      <xdr:colOff>5001457</xdr:colOff>
      <xdr:row>16</xdr:row>
      <xdr:rowOff>3621852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73510" y="8404413"/>
          <a:ext cx="1976800" cy="2635733"/>
        </a:xfrm>
        <a:prstGeom prst="rect">
          <a:avLst/>
        </a:prstGeom>
      </xdr:spPr>
    </xdr:pic>
    <xdr:clientData/>
  </xdr:twoCellAnchor>
  <xdr:twoCellAnchor editAs="oneCell">
    <xdr:from>
      <xdr:col>2</xdr:col>
      <xdr:colOff>1028248</xdr:colOff>
      <xdr:row>16</xdr:row>
      <xdr:rowOff>1087567</xdr:rowOff>
    </xdr:from>
    <xdr:to>
      <xdr:col>2</xdr:col>
      <xdr:colOff>2986027</xdr:colOff>
      <xdr:row>16</xdr:row>
      <xdr:rowOff>3697939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553248" y="8505861"/>
          <a:ext cx="1957779" cy="2610372"/>
        </a:xfrm>
        <a:prstGeom prst="rect">
          <a:avLst/>
        </a:prstGeom>
      </xdr:spPr>
    </xdr:pic>
    <xdr:clientData/>
  </xdr:twoCellAnchor>
  <xdr:twoCellAnchor editAs="oneCell">
    <xdr:from>
      <xdr:col>0</xdr:col>
      <xdr:colOff>1084396</xdr:colOff>
      <xdr:row>16</xdr:row>
      <xdr:rowOff>948165</xdr:rowOff>
    </xdr:from>
    <xdr:to>
      <xdr:col>0</xdr:col>
      <xdr:colOff>3137648</xdr:colOff>
      <xdr:row>16</xdr:row>
      <xdr:rowOff>3685834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4396" y="8366459"/>
          <a:ext cx="2053252" cy="2737669"/>
        </a:xfrm>
        <a:prstGeom prst="rect">
          <a:avLst/>
        </a:prstGeom>
      </xdr:spPr>
    </xdr:pic>
    <xdr:clientData/>
  </xdr:twoCellAnchor>
  <xdr:twoCellAnchor editAs="oneCell">
    <xdr:from>
      <xdr:col>2</xdr:col>
      <xdr:colOff>453345</xdr:colOff>
      <xdr:row>0</xdr:row>
      <xdr:rowOff>291352</xdr:rowOff>
    </xdr:from>
    <xdr:to>
      <xdr:col>2</xdr:col>
      <xdr:colOff>3984810</xdr:colOff>
      <xdr:row>8</xdr:row>
      <xdr:rowOff>208787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3345" y="291352"/>
          <a:ext cx="3531465" cy="2012935"/>
        </a:xfrm>
        <a:prstGeom prst="rect">
          <a:avLst/>
        </a:prstGeom>
      </xdr:spPr>
    </xdr:pic>
    <xdr:clientData/>
  </xdr:twoCellAnchor>
  <xdr:oneCellAnchor>
    <xdr:from>
      <xdr:col>0</xdr:col>
      <xdr:colOff>1613647</xdr:colOff>
      <xdr:row>16</xdr:row>
      <xdr:rowOff>246529</xdr:rowOff>
    </xdr:from>
    <xdr:ext cx="1039347" cy="257735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613647" y="7664823"/>
          <a:ext cx="1039347" cy="257735"/>
        </a:xfrm>
        <a:prstGeom prst="rect">
          <a:avLst/>
        </a:prstGeom>
        <a:solidFill>
          <a:schemeClr val="lt1"/>
        </a:solidFill>
        <a:ln w="1905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ANTES</a:t>
          </a:r>
          <a:endParaRPr sz="1400" b="1"/>
        </a:p>
      </xdr:txBody>
    </xdr:sp>
    <xdr:clientData fLocksWithSheet="0"/>
  </xdr:oneCellAnchor>
  <xdr:oneCellAnchor>
    <xdr:from>
      <xdr:col>1</xdr:col>
      <xdr:colOff>3350559</xdr:colOff>
      <xdr:row>16</xdr:row>
      <xdr:rowOff>257735</xdr:rowOff>
    </xdr:from>
    <xdr:ext cx="1039347" cy="257735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174441" y="7676029"/>
          <a:ext cx="1039347" cy="257735"/>
        </a:xfrm>
        <a:prstGeom prst="rect">
          <a:avLst/>
        </a:prstGeom>
        <a:solidFill>
          <a:schemeClr val="lt1"/>
        </a:solidFill>
        <a:ln w="1905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sym typeface="Calibri"/>
            </a:rPr>
            <a:t>DURANTE</a:t>
          </a:r>
          <a:endParaRPr sz="1400" b="1"/>
        </a:p>
      </xdr:txBody>
    </xdr:sp>
    <xdr:clientData fLocksWithSheet="0"/>
  </xdr:oneCellAnchor>
  <xdr:oneCellAnchor>
    <xdr:from>
      <xdr:col>2</xdr:col>
      <xdr:colOff>1490383</xdr:colOff>
      <xdr:row>16</xdr:row>
      <xdr:rowOff>280147</xdr:rowOff>
    </xdr:from>
    <xdr:ext cx="1039347" cy="257735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0690412" y="7698441"/>
          <a:ext cx="1039347" cy="257735"/>
        </a:xfrm>
        <a:prstGeom prst="rect">
          <a:avLst/>
        </a:prstGeom>
        <a:solidFill>
          <a:schemeClr val="lt1"/>
        </a:solidFill>
        <a:ln w="1905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APÓS</a:t>
          </a:r>
          <a:endParaRPr sz="1400" b="1"/>
        </a:p>
      </xdr:txBody>
    </xdr:sp>
    <xdr:clientData fLocksWithSheet="0"/>
  </xdr:oneCellAnchor>
  <xdr:oneCellAnchor>
    <xdr:from>
      <xdr:col>0</xdr:col>
      <xdr:colOff>47625</xdr:colOff>
      <xdr:row>18</xdr:row>
      <xdr:rowOff>38100</xdr:rowOff>
    </xdr:from>
    <xdr:ext cx="723900" cy="27622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7625" y="11400865"/>
          <a:ext cx="723900" cy="2762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pt-BR" sz="1100"/>
            <a:t>TIPO 17</a:t>
          </a:r>
          <a:endParaRPr sz="1100"/>
        </a:p>
      </xdr:txBody>
    </xdr:sp>
    <xdr:clientData fLocksWithSheet="0"/>
  </xdr:oneCellAnchor>
  <xdr:oneCellAnchor>
    <xdr:from>
      <xdr:col>0</xdr:col>
      <xdr:colOff>47625</xdr:colOff>
      <xdr:row>18</xdr:row>
      <xdr:rowOff>38100</xdr:rowOff>
    </xdr:from>
    <xdr:ext cx="723900" cy="276225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7625" y="11400865"/>
          <a:ext cx="723900" cy="276225"/>
        </a:xfrm>
        <a:prstGeom prst="rect">
          <a:avLst/>
        </a:prstGeom>
        <a:solidFill>
          <a:schemeClr val="lt1"/>
        </a:solidFill>
        <a:ln w="9525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TIPO 06</a:t>
          </a:r>
          <a:endParaRPr sz="1200" b="1"/>
        </a:p>
      </xdr:txBody>
    </xdr:sp>
    <xdr:clientData fLocksWithSheet="0"/>
  </xdr:oneCellAnchor>
  <xdr:oneCellAnchor>
    <xdr:from>
      <xdr:col>0</xdr:col>
      <xdr:colOff>44823</xdr:colOff>
      <xdr:row>17</xdr:row>
      <xdr:rowOff>33618</xdr:rowOff>
    </xdr:from>
    <xdr:ext cx="762001" cy="268941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4823" y="11396383"/>
          <a:ext cx="762001" cy="268941"/>
        </a:xfrm>
        <a:prstGeom prst="rect">
          <a:avLst/>
        </a:prstGeom>
        <a:solidFill>
          <a:schemeClr val="lt1"/>
        </a:solidFill>
        <a:ln w="9525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TIPO</a:t>
          </a:r>
          <a:r>
            <a:rPr lang="en-US" sz="12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06</a:t>
          </a:r>
          <a:endParaRPr sz="1200" b="1"/>
        </a:p>
      </xdr:txBody>
    </xdr:sp>
    <xdr:clientData fLocksWithSheet="0"/>
  </xdr:oneCellAnchor>
  <xdr:oneCellAnchor>
    <xdr:from>
      <xdr:col>0</xdr:col>
      <xdr:colOff>1680882</xdr:colOff>
      <xdr:row>17</xdr:row>
      <xdr:rowOff>268941</xdr:rowOff>
    </xdr:from>
    <xdr:ext cx="1039347" cy="257735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1680882" y="11631706"/>
          <a:ext cx="1039347" cy="257735"/>
        </a:xfrm>
        <a:prstGeom prst="rect">
          <a:avLst/>
        </a:prstGeom>
        <a:solidFill>
          <a:schemeClr val="lt1"/>
        </a:solidFill>
        <a:ln w="1905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ANTES</a:t>
          </a:r>
          <a:endParaRPr sz="1400" b="1"/>
        </a:p>
      </xdr:txBody>
    </xdr:sp>
    <xdr:clientData fLocksWithSheet="0"/>
  </xdr:oneCellAnchor>
  <xdr:oneCellAnchor>
    <xdr:from>
      <xdr:col>1</xdr:col>
      <xdr:colOff>3384177</xdr:colOff>
      <xdr:row>17</xdr:row>
      <xdr:rowOff>291353</xdr:rowOff>
    </xdr:from>
    <xdr:ext cx="1039347" cy="257735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208059" y="11654118"/>
          <a:ext cx="1039347" cy="257735"/>
        </a:xfrm>
        <a:prstGeom prst="rect">
          <a:avLst/>
        </a:prstGeom>
        <a:solidFill>
          <a:schemeClr val="lt1"/>
        </a:solidFill>
        <a:ln w="1905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sym typeface="Calibri"/>
            </a:rPr>
            <a:t>DURANTE</a:t>
          </a:r>
          <a:endParaRPr sz="1400" b="1"/>
        </a:p>
      </xdr:txBody>
    </xdr:sp>
    <xdr:clientData fLocksWithSheet="0"/>
  </xdr:oneCellAnchor>
  <xdr:oneCellAnchor>
    <xdr:from>
      <xdr:col>2</xdr:col>
      <xdr:colOff>1602442</xdr:colOff>
      <xdr:row>17</xdr:row>
      <xdr:rowOff>302559</xdr:rowOff>
    </xdr:from>
    <xdr:ext cx="1039347" cy="257735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0802471" y="11665324"/>
          <a:ext cx="1039347" cy="257735"/>
        </a:xfrm>
        <a:prstGeom prst="rect">
          <a:avLst/>
        </a:prstGeom>
        <a:solidFill>
          <a:schemeClr val="lt1"/>
        </a:solidFill>
        <a:ln w="1905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APÓS</a:t>
          </a:r>
          <a:endParaRPr sz="1400" b="1"/>
        </a:p>
      </xdr:txBody>
    </xdr:sp>
    <xdr:clientData fLocksWithSheet="0"/>
  </xdr:oneCellAnchor>
  <xdr:oneCellAnchor>
    <xdr:from>
      <xdr:col>0</xdr:col>
      <xdr:colOff>1658471</xdr:colOff>
      <xdr:row>18</xdr:row>
      <xdr:rowOff>246529</xdr:rowOff>
    </xdr:from>
    <xdr:ext cx="1039347" cy="257735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658471" y="15553764"/>
          <a:ext cx="1039347" cy="257735"/>
        </a:xfrm>
        <a:prstGeom prst="rect">
          <a:avLst/>
        </a:prstGeom>
        <a:solidFill>
          <a:schemeClr val="lt1"/>
        </a:solidFill>
        <a:ln w="1905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ANTES</a:t>
          </a:r>
          <a:endParaRPr sz="1400"/>
        </a:p>
      </xdr:txBody>
    </xdr:sp>
    <xdr:clientData fLocksWithSheet="0"/>
  </xdr:oneCellAnchor>
  <xdr:oneCellAnchor>
    <xdr:from>
      <xdr:col>1</xdr:col>
      <xdr:colOff>3440206</xdr:colOff>
      <xdr:row>18</xdr:row>
      <xdr:rowOff>268941</xdr:rowOff>
    </xdr:from>
    <xdr:ext cx="1039347" cy="257735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6264088" y="15576176"/>
          <a:ext cx="1039347" cy="257735"/>
        </a:xfrm>
        <a:prstGeom prst="rect">
          <a:avLst/>
        </a:prstGeom>
        <a:solidFill>
          <a:schemeClr val="lt1"/>
        </a:solidFill>
        <a:ln w="1905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sym typeface="Calibri"/>
            </a:rPr>
            <a:t>DURANTE</a:t>
          </a:r>
          <a:endParaRPr sz="1400"/>
        </a:p>
      </xdr:txBody>
    </xdr:sp>
    <xdr:clientData fLocksWithSheet="0"/>
  </xdr:oneCellAnchor>
  <xdr:oneCellAnchor>
    <xdr:from>
      <xdr:col>2</xdr:col>
      <xdr:colOff>1535207</xdr:colOff>
      <xdr:row>18</xdr:row>
      <xdr:rowOff>291353</xdr:rowOff>
    </xdr:from>
    <xdr:ext cx="1039347" cy="257735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0735236" y="15598588"/>
          <a:ext cx="1039347" cy="257735"/>
        </a:xfrm>
        <a:prstGeom prst="rect">
          <a:avLst/>
        </a:prstGeom>
        <a:solidFill>
          <a:schemeClr val="lt1"/>
        </a:solidFill>
        <a:ln w="1905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APÓS</a:t>
          </a:r>
          <a:endParaRPr sz="1400"/>
        </a:p>
      </xdr:txBody>
    </xdr:sp>
    <xdr:clientData fLocksWithSheet="0"/>
  </xdr:oneCellAnchor>
  <xdr:oneCellAnchor>
    <xdr:from>
      <xdr:col>0</xdr:col>
      <xdr:colOff>47625</xdr:colOff>
      <xdr:row>19</xdr:row>
      <xdr:rowOff>38100</xdr:rowOff>
    </xdr:from>
    <xdr:ext cx="723900" cy="276225"/>
    <xdr:sp macro="" textlink="">
      <xdr:nvSpPr>
        <xdr:cNvPr id="20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7625" y="15345335"/>
          <a:ext cx="723900" cy="2762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pt-BR" sz="1100"/>
            <a:t>TIPO 17</a:t>
          </a:r>
          <a:endParaRPr sz="1100"/>
        </a:p>
      </xdr:txBody>
    </xdr:sp>
    <xdr:clientData fLocksWithSheet="0"/>
  </xdr:oneCellAnchor>
  <xdr:oneCellAnchor>
    <xdr:from>
      <xdr:col>0</xdr:col>
      <xdr:colOff>47625</xdr:colOff>
      <xdr:row>19</xdr:row>
      <xdr:rowOff>38100</xdr:rowOff>
    </xdr:from>
    <xdr:ext cx="723900" cy="276225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7625" y="15345335"/>
          <a:ext cx="723900" cy="276225"/>
        </a:xfrm>
        <a:prstGeom prst="rect">
          <a:avLst/>
        </a:prstGeom>
        <a:solidFill>
          <a:schemeClr val="lt1"/>
        </a:solidFill>
        <a:ln w="9525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TIPO 17</a:t>
          </a:r>
          <a:endParaRPr sz="1200" b="1"/>
        </a:p>
      </xdr:txBody>
    </xdr:sp>
    <xdr:clientData fLocksWithSheet="0"/>
  </xdr:oneCellAnchor>
  <xdr:oneCellAnchor>
    <xdr:from>
      <xdr:col>0</xdr:col>
      <xdr:colOff>1658471</xdr:colOff>
      <xdr:row>19</xdr:row>
      <xdr:rowOff>246529</xdr:rowOff>
    </xdr:from>
    <xdr:ext cx="1039347" cy="257735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658471" y="15553764"/>
          <a:ext cx="1039347" cy="257735"/>
        </a:xfrm>
        <a:prstGeom prst="rect">
          <a:avLst/>
        </a:prstGeom>
        <a:solidFill>
          <a:schemeClr val="lt1"/>
        </a:solidFill>
        <a:ln w="1905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ANTES</a:t>
          </a:r>
          <a:endParaRPr sz="1400"/>
        </a:p>
      </xdr:txBody>
    </xdr:sp>
    <xdr:clientData fLocksWithSheet="0"/>
  </xdr:oneCellAnchor>
  <xdr:oneCellAnchor>
    <xdr:from>
      <xdr:col>1</xdr:col>
      <xdr:colOff>3440206</xdr:colOff>
      <xdr:row>19</xdr:row>
      <xdr:rowOff>268941</xdr:rowOff>
    </xdr:from>
    <xdr:ext cx="1039347" cy="257735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6589059" y="15576176"/>
          <a:ext cx="1039347" cy="257735"/>
        </a:xfrm>
        <a:prstGeom prst="rect">
          <a:avLst/>
        </a:prstGeom>
        <a:solidFill>
          <a:schemeClr val="lt1"/>
        </a:solidFill>
        <a:ln w="1905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sym typeface="Calibri"/>
            </a:rPr>
            <a:t>DURANTE</a:t>
          </a:r>
          <a:endParaRPr sz="1400"/>
        </a:p>
      </xdr:txBody>
    </xdr:sp>
    <xdr:clientData fLocksWithSheet="0"/>
  </xdr:oneCellAnchor>
  <xdr:oneCellAnchor>
    <xdr:from>
      <xdr:col>2</xdr:col>
      <xdr:colOff>1535207</xdr:colOff>
      <xdr:row>19</xdr:row>
      <xdr:rowOff>291353</xdr:rowOff>
    </xdr:from>
    <xdr:ext cx="1039347" cy="257735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1060207" y="15598588"/>
          <a:ext cx="1039347" cy="257735"/>
        </a:xfrm>
        <a:prstGeom prst="rect">
          <a:avLst/>
        </a:prstGeom>
        <a:solidFill>
          <a:schemeClr val="lt1"/>
        </a:solidFill>
        <a:ln w="1905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APÓS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B13" totalsRowShown="0" headerRowDxfId="2" tableBorderDxfId="1">
  <autoFilter ref="A1:B13" xr:uid="{00000000-0009-0000-0100-000001000000}"/>
  <tableColumns count="2">
    <tableColumn id="1" xr3:uid="{00000000-0010-0000-0000-000001000000}" name="Atipicidade"/>
    <tableColumn id="2" xr3:uid="{00000000-0010-0000-0000-000002000000}" name="Colu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showGridLines="0" tabSelected="1" topLeftCell="A13" zoomScale="85" zoomScaleNormal="85" workbookViewId="0">
      <selection activeCell="B9" sqref="B9"/>
    </sheetView>
  </sheetViews>
  <sheetFormatPr defaultColWidth="14.42578125" defaultRowHeight="15" x14ac:dyDescent="0.25"/>
  <cols>
    <col min="1" max="1" width="47.28515625" customWidth="1"/>
    <col min="2" max="2" width="95.5703125" customWidth="1"/>
    <col min="3" max="3" width="71.28515625" customWidth="1"/>
    <col min="5" max="24" width="8.7109375" customWidth="1"/>
  </cols>
  <sheetData>
    <row r="1" spans="1:24" ht="23.25" customHeight="1" x14ac:dyDescent="0.25">
      <c r="A1" s="40" t="s">
        <v>27</v>
      </c>
      <c r="B1" s="41"/>
      <c r="C1" s="42"/>
    </row>
    <row r="2" spans="1:24" ht="23.25" customHeight="1" x14ac:dyDescent="0.25">
      <c r="A2" s="43"/>
      <c r="B2" s="44"/>
      <c r="C2" s="45"/>
    </row>
    <row r="3" spans="1:24" ht="23.25" customHeight="1" x14ac:dyDescent="0.25">
      <c r="A3" s="46"/>
      <c r="B3" s="47"/>
      <c r="C3" s="15"/>
    </row>
    <row r="4" spans="1:24" ht="23.25" customHeight="1" x14ac:dyDescent="0.25">
      <c r="A4" s="48"/>
      <c r="B4" s="49"/>
      <c r="C4" s="15"/>
    </row>
    <row r="5" spans="1:24" ht="21" x14ac:dyDescent="0.25">
      <c r="A5" s="27" t="s">
        <v>37</v>
      </c>
      <c r="B5" s="28" t="s">
        <v>38</v>
      </c>
      <c r="C5" s="16"/>
    </row>
    <row r="6" spans="1:24" ht="18.75" x14ac:dyDescent="0.3">
      <c r="A6" s="17"/>
      <c r="B6" s="25"/>
      <c r="C6" s="16"/>
    </row>
    <row r="7" spans="1:24" ht="17.25" customHeight="1" x14ac:dyDescent="0.3">
      <c r="A7" s="18"/>
      <c r="B7" s="26"/>
      <c r="C7" s="16"/>
    </row>
    <row r="8" spans="1:24" ht="15.75" customHeight="1" x14ac:dyDescent="0.25">
      <c r="A8" s="19" t="s">
        <v>0</v>
      </c>
      <c r="B8" s="24"/>
      <c r="C8" s="20" t="s">
        <v>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99.95" customHeight="1" x14ac:dyDescent="0.25">
      <c r="A9" s="21" t="s">
        <v>1</v>
      </c>
      <c r="B9" s="29" t="s">
        <v>2</v>
      </c>
      <c r="C9" s="30" t="str">
        <f>IF(B9="3. Obra em locais sem acesso que necessitam de transporte especial de equipamento (guindaste, trator, carroça) ou BANDOLAGEM",Planilha2!B2,IF(B9="4. Obra em ilhas, terrenos alagados, arenosos, montanhosos, rochosos ou aquosos, com CONCRETAGEM da base do poste ou CAVA ESPECIAL.",Planilha2!B3,IF(B9="6. Obra de expansão e construção de rede e linhas de distribuição com abertura de faixa de passagem.",Planilha2!B4,IF(B9="8. Obra com participação de linha viva",Planilha2!B5,IF(B9="9. Obra com utilização de linha viva somente na conexão.",Planilha2!B6,IF(B9="10. Obra com atendimento alternativo de cargas (SE / Barramento móvel, estruturas temporárias/provisórias, gerador, Mega Jump)",Planilha2!B7,IF(B9="11. Obra de conversão de Rede convencional para REDE COMPACTA.",Planilha2!B8,IF(B9="12. Obra exclusiva de recondutoramento de redes/linhas.",Planilha2!$B9,IF(B9="13. Obra MISTA com RECONDUTORAMENTO PARCIAL de redes / linhas.",Planilha2!B10,IF(B9="17. Outros (EMENDAS DE CONDUTOR PARTIDO, ESPAÇADOR, e outras não previstas nos itens de 1 a 16).",Planilha2!B11,IF(B9="5. Obra com travessia de condutores sobre linhas energizadas.",Planilha2!B12,"")))))))))))</f>
        <v>São consideradas atípicas pelo fato de utilizarmos equipes de linha-viva em alguns casos visando a não interrupção do fornecimento de energia elétrica para não impactar no DEC e FEC da concessionária.</v>
      </c>
      <c r="D9" s="1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99.95" customHeight="1" x14ac:dyDescent="0.25">
      <c r="A10" s="21" t="s">
        <v>1</v>
      </c>
      <c r="B10" s="29" t="s">
        <v>36</v>
      </c>
      <c r="C10" s="30" t="str">
        <f>IF(B10="3. Obra em locais sem acesso que necessitam de transporte especial de equipamento (guindaste, trator, carroça) ou BANDOLAGEM",Planilha2!B3,IF(B10="4. Obra em ilhas, terrenos alagados, arenosos, montanhosos, rochosos ou aquosos, com CONCRETAGEM da base do poste ou CAVA ESPECIAL.",Planilha2!B4,IF(B10="6. Obra de expansão e construção de rede e linhas de distribuição com abertura de faixa de passagem.",Planilha2!B5,IF(B10="8. Obra com participação de linha viva",Planilha2!B6,IF(B10="9. Obra com utilização de linha viva somente na conexão.",Planilha2!B7,IF(B10="10. Obra com atendimento alternativo de cargas (SE / Barramento móvel, estruturas temporárias/provisórias, gerador, Mega Jump)",Planilha2!B8,IF(B10="11. Obra de conversão de Rede convencional para REDE COMPACTA.",Planilha2!B9,IF(B10="12. Obra exclusiva de recondutoramento de redes/linhas.",Planilha2!$B10,IF(B10="13. Obra MISTA com RECONDUTORAMENTO PARCIAL de redes / linhas.",Planilha2!B11,IF(B10="17. Outros (EMENDAS DE CONDUTOR PARTIDO, ESPAÇADOR, e outras não previstas nos itens de 1 a 16).",Planilha2!B12,IF(B10="5. Obra com travessia de condutores sobre linhas energizadas.",Planilha2!B12,"")))))))))))</f>
        <v/>
      </c>
      <c r="D10" s="1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99.95" customHeight="1" x14ac:dyDescent="0.25">
      <c r="A11" s="23" t="s">
        <v>1</v>
      </c>
      <c r="B11" s="29" t="s">
        <v>36</v>
      </c>
      <c r="C11" s="30" t="str">
        <f>IF(B11="3. Obra em locais sem acesso que necessitam de transporte especial de equipamento (guindaste, trator, carroça) ou BANDOLAGEM",Planilha2!B4,IF(B11="4. Obra em ilhas, terrenos alagados, arenosos, montanhosos, rochosos ou aquosos, com CONCRETAGEM da base do poste ou CAVA ESPECIAL.",Planilha2!B5,IF(B11="6. Obra de expansão e construção de rede e linhas de distribuição com abertura de faixa de passagem.",Planilha2!B6,IF(B11="8. Obra com participação de linha viva",Planilha2!B7,IF(B11="9. Obra com utilização de linha viva somente na conexão.",Planilha2!B8,IF(B11="10. Obra com atendimento alternativo de cargas (SE / Barramento móvel, estruturas temporárias/provisórias, gerador, Mega Jump)",Planilha2!B9,IF(B11="11. Obra de conversão de Rede convencional para REDE COMPACTA.",Planilha2!B10,IF(B11="12. Obra exclusiva de recondutoramento de redes/linhas.",Planilha2!$B11,IF(B11="13. Obra MISTA com RECONDUTORAMENTO PARCIAL de redes / linhas.",Planilha2!B12,IF(B11="17. Outros (EMENDAS DE CONDUTOR PARTIDO, ESPAÇADOR, e outras não previstas nos itens de 1 a 16).",Planilha2!B13,IF(B11="5. Obra com travessia de condutores sobre linhas energizadas.",Planilha2!B12,"")))))))))))</f>
        <v/>
      </c>
      <c r="D11" s="1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55.5" customHeight="1" thickBot="1" x14ac:dyDescent="0.3">
      <c r="A12" s="22" t="s">
        <v>21</v>
      </c>
      <c r="B12" s="53"/>
      <c r="C12" s="5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9.5" customHeight="1" x14ac:dyDescent="0.25">
      <c r="A13" s="5"/>
      <c r="B13" s="3"/>
      <c r="C13" s="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 s="6" t="s">
        <v>4</v>
      </c>
      <c r="B14" s="7" t="s">
        <v>5</v>
      </c>
      <c r="C14" s="8" t="s">
        <v>6</v>
      </c>
      <c r="D14" s="9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5" customHeight="1" x14ac:dyDescent="0.25">
      <c r="A15" s="11" t="s">
        <v>7</v>
      </c>
      <c r="B15" s="12" t="s">
        <v>8</v>
      </c>
      <c r="C15" s="1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5" customHeight="1" thickBot="1" x14ac:dyDescent="0.3">
      <c r="A16" s="11" t="s">
        <v>9</v>
      </c>
      <c r="B16" s="12" t="s">
        <v>10</v>
      </c>
      <c r="C16" s="1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3" ht="310.5" customHeight="1" thickBot="1" x14ac:dyDescent="0.3">
      <c r="A17" s="50"/>
      <c r="B17" s="51"/>
      <c r="C17" s="52"/>
    </row>
    <row r="18" spans="1:3" ht="310.5" customHeight="1" thickBot="1" x14ac:dyDescent="0.3">
      <c r="A18" s="50"/>
      <c r="B18" s="51"/>
      <c r="C18" s="52"/>
    </row>
    <row r="19" spans="1:3" ht="310.5" customHeight="1" thickBot="1" x14ac:dyDescent="0.3">
      <c r="A19" s="50"/>
      <c r="B19" s="51"/>
      <c r="C19" s="52"/>
    </row>
    <row r="20" spans="1:3" ht="310.5" customHeight="1" thickBot="1" x14ac:dyDescent="0.3">
      <c r="A20" s="50"/>
      <c r="B20" s="51"/>
      <c r="C20" s="52"/>
    </row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autoFilter ref="A8:C12" xr:uid="{00000000-0009-0000-0000-000000000000}"/>
  <mergeCells count="7">
    <mergeCell ref="A1:C2"/>
    <mergeCell ref="A3:B4"/>
    <mergeCell ref="A20:C20"/>
    <mergeCell ref="A19:C19"/>
    <mergeCell ref="A17:C17"/>
    <mergeCell ref="A18:C18"/>
    <mergeCell ref="B12:C1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Planilha2!$A$2:$A$13</xm:f>
          </x14:formula1>
          <xm:sqref>B9:B11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zoomScale="90" zoomScaleNormal="90" workbookViewId="0">
      <selection activeCell="A26" sqref="A26"/>
    </sheetView>
  </sheetViews>
  <sheetFormatPr defaultRowHeight="15" x14ac:dyDescent="0.25"/>
  <cols>
    <col min="1" max="1" width="128.28515625" bestFit="1" customWidth="1"/>
    <col min="2" max="2" width="168.85546875" customWidth="1"/>
  </cols>
  <sheetData>
    <row r="1" spans="1:2" x14ac:dyDescent="0.25">
      <c r="A1" s="37" t="s">
        <v>11</v>
      </c>
      <c r="B1" s="38" t="s">
        <v>22</v>
      </c>
    </row>
    <row r="2" spans="1:2" ht="24" customHeight="1" x14ac:dyDescent="0.25">
      <c r="A2" s="31" t="s">
        <v>12</v>
      </c>
      <c r="B2" s="34" t="s">
        <v>23</v>
      </c>
    </row>
    <row r="3" spans="1:2" ht="21.75" customHeight="1" x14ac:dyDescent="0.25">
      <c r="A3" s="32" t="s">
        <v>13</v>
      </c>
      <c r="B3" s="35" t="s">
        <v>28</v>
      </c>
    </row>
    <row r="4" spans="1:2" ht="18" customHeight="1" x14ac:dyDescent="0.25">
      <c r="A4" s="33" t="s">
        <v>18</v>
      </c>
      <c r="B4" s="34" t="s">
        <v>29</v>
      </c>
    </row>
    <row r="5" spans="1:2" ht="20.25" customHeight="1" x14ac:dyDescent="0.25">
      <c r="A5" s="32" t="s">
        <v>2</v>
      </c>
      <c r="B5" s="35" t="s">
        <v>30</v>
      </c>
    </row>
    <row r="6" spans="1:2" ht="21" customHeight="1" x14ac:dyDescent="0.25">
      <c r="A6" s="33" t="s">
        <v>19</v>
      </c>
      <c r="B6" s="34" t="s">
        <v>31</v>
      </c>
    </row>
    <row r="7" spans="1:2" ht="27" customHeight="1" x14ac:dyDescent="0.25">
      <c r="A7" s="32" t="s">
        <v>14</v>
      </c>
      <c r="B7" s="35" t="s">
        <v>32</v>
      </c>
    </row>
    <row r="8" spans="1:2" ht="28.5" customHeight="1" x14ac:dyDescent="0.25">
      <c r="A8" s="33" t="s">
        <v>15</v>
      </c>
      <c r="B8" s="34" t="s">
        <v>25</v>
      </c>
    </row>
    <row r="9" spans="1:2" ht="17.25" customHeight="1" x14ac:dyDescent="0.25">
      <c r="A9" s="32" t="s">
        <v>20</v>
      </c>
      <c r="B9" s="35" t="s">
        <v>26</v>
      </c>
    </row>
    <row r="10" spans="1:2" ht="27" customHeight="1" x14ac:dyDescent="0.25">
      <c r="A10" s="33" t="s">
        <v>16</v>
      </c>
      <c r="B10" s="34" t="s">
        <v>24</v>
      </c>
    </row>
    <row r="11" spans="1:2" ht="27" customHeight="1" x14ac:dyDescent="0.25">
      <c r="A11" s="32" t="s">
        <v>17</v>
      </c>
      <c r="B11" s="36" t="s">
        <v>33</v>
      </c>
    </row>
    <row r="12" spans="1:2" ht="24" customHeight="1" x14ac:dyDescent="0.25">
      <c r="A12" s="33" t="s">
        <v>34</v>
      </c>
      <c r="B12" s="34" t="s">
        <v>35</v>
      </c>
    </row>
    <row r="13" spans="1:2" x14ac:dyDescent="0.25">
      <c r="A13" s="39" t="s">
        <v>36</v>
      </c>
      <c r="B13" s="34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2C29F75469664BAADFAC99E1D15078" ma:contentTypeVersion="16" ma:contentTypeDescription="Crie um novo documento." ma:contentTypeScope="" ma:versionID="bd9db00614a1348d9f25cc76ffab66f4">
  <xsd:schema xmlns:xsd="http://www.w3.org/2001/XMLSchema" xmlns:xs="http://www.w3.org/2001/XMLSchema" xmlns:p="http://schemas.microsoft.com/office/2006/metadata/properties" xmlns:ns2="e949bca4-cb39-41d1-9051-ec39891879aa" xmlns:ns3="1180d53f-ad64-4a25-a720-773b55cb4bfd" targetNamespace="http://schemas.microsoft.com/office/2006/metadata/properties" ma:root="true" ma:fieldsID="eaae2c2d5c154c7e50723207f2c003eb" ns2:_="" ns3:_="">
    <xsd:import namespace="e949bca4-cb39-41d1-9051-ec39891879aa"/>
    <xsd:import namespace="1180d53f-ad64-4a25-a720-773b55cb4bf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9bca4-cb39-41d1-9051-ec39891879a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6bec236-b947-48ee-ba0e-4501f9300900}" ma:internalName="TaxCatchAll" ma:showField="CatchAllData" ma:web="e949bca4-cb39-41d1-9051-ec39891879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80d53f-ad64-4a25-a720-773b55cb4b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747b2df-4c86-4e11-a72b-ee418f0c68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49bca4-cb39-41d1-9051-ec39891879aa" xsi:nil="true"/>
    <lcf76f155ced4ddcb4097134ff3c332f xmlns="1180d53f-ad64-4a25-a720-773b55cb4b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B0FA37-CE71-4986-87D2-EB422B6EB56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C684BA0-A26B-418A-894E-F232637C65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1C7892-F3CC-4D05-8661-7F286E67B9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49bca4-cb39-41d1-9051-ec39891879aa"/>
    <ds:schemaRef ds:uri="1180d53f-ad64-4a25-a720-773b55cb4b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206283C-6A9B-4F65-BECD-06A5D6E78E5F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  <ds:schemaRef ds:uri="e949bca4-cb39-41d1-9051-ec39891879aa"/>
    <ds:schemaRef ds:uri="http://purl.org/dc/terms/"/>
    <ds:schemaRef ds:uri="http://schemas.openxmlformats.org/package/2006/metadata/core-properties"/>
    <ds:schemaRef ds:uri="1180d53f-ad64-4a25-a720-773b55cb4bf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Julianny Katarina F Lindoso</dc:creator>
  <cp:keywords/>
  <dc:description/>
  <cp:lastModifiedBy>PC</cp:lastModifiedBy>
  <cp:revision/>
  <dcterms:created xsi:type="dcterms:W3CDTF">2022-09-26T13:09:48Z</dcterms:created>
  <dcterms:modified xsi:type="dcterms:W3CDTF">2025-11-03T14:00:12Z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0x010100D02C29F75469664BAADFAC99E1D15078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